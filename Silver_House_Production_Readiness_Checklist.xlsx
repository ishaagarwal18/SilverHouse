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 drive\SilverHouse\"/>
    </mc:Choice>
  </mc:AlternateContent>
  <xr:revisionPtr revIDLastSave="0" documentId="13_ncr:1_{EC90186D-0E2D-44FB-8668-D204B11AC9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-Commerce Production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D5" i="1"/>
  <c r="C5" i="1"/>
  <c r="B5" i="1"/>
</calcChain>
</file>

<file path=xl/sharedStrings.xml><?xml version="1.0" encoding="utf-8"?>
<sst xmlns="http://schemas.openxmlformats.org/spreadsheetml/2006/main" count="254" uniqueCount="148">
  <si>
    <t>SILVER HOUSE — PRODUCTION-GRADE E-COMMERCE ROADMAP &amp; AUDIT</t>
  </si>
  <si>
    <t>Production Readiness Checklist • Status of Completed vs. Pending Tasks • Generated September 2026</t>
  </si>
  <si>
    <t>Total Tasks</t>
  </si>
  <si>
    <t>Completed (✔)</t>
  </si>
  <si>
    <t>In Progress (⏳)</t>
  </si>
  <si>
    <t>Pending (❌)</t>
  </si>
  <si>
    <t>Readiness %</t>
  </si>
  <si>
    <t>No.</t>
  </si>
  <si>
    <t>Domain / Module</t>
  </si>
  <si>
    <t>Feature / Task</t>
  </si>
  <si>
    <t>Description &amp; Production Standard</t>
  </si>
  <si>
    <t>Status</t>
  </si>
  <si>
    <t>Priority</t>
  </si>
  <si>
    <t>Implementation Details / Next Steps</t>
  </si>
  <si>
    <t>User Auth &amp; Accounts</t>
  </si>
  <si>
    <t>Mobile OTP Login</t>
  </si>
  <si>
    <t>Fast passwordless mobile OTP authentication with fallback</t>
  </si>
  <si>
    <t>✔ Completed</t>
  </si>
  <si>
    <t>High</t>
  </si>
  <si>
    <t>Integrated via Twilio SMS with instant dev mock fallback</t>
  </si>
  <si>
    <t>Username Capture at Login</t>
  </si>
  <si>
    <t>Prompt for full name during first-time login and persist to DB</t>
  </si>
  <si>
    <t>Modal prompt triggers and updates user profile in DB</t>
  </si>
  <si>
    <t>Header Initials Avatar</t>
  </si>
  <si>
    <t>Display user initials in circular badge on navbar instead of full text</t>
  </si>
  <si>
    <t>Medium</t>
  </si>
  <si>
    <t>Header reflects initials with drop-down quick account menu</t>
  </si>
  <si>
    <t>User Profile Self-Edit</t>
  </si>
  <si>
    <t>Customer ability to edit name, email, phone, and saved shipping addresses</t>
  </si>
  <si>
    <t>Edit profile drawer connected to /api/user/profile endpoint</t>
  </si>
  <si>
    <t>JWT Session Management</t>
  </si>
  <si>
    <t>Secure HTTP-only or token storage with auto-expiry handling</t>
  </si>
  <si>
    <t>Standard JWT verification on all secured routes</t>
  </si>
  <si>
    <t>Role-Based Access Control</t>
  </si>
  <si>
    <t>Clean separation of Customer, Staff, and Master Admin permissions</t>
  </si>
  <si>
    <t>Protected Admin routes; removed unneeded Patron dashboard</t>
  </si>
  <si>
    <t>Catalog &amp; Inventory</t>
  </si>
  <si>
    <t>MS SQL DB Connection</t>
  </si>
  <si>
    <t>Real database tables (dbo.product, dbo.category) via SP_GETDATA</t>
  </si>
  <si>
    <t>Direct pool connection to SQL Server fetching 39 live items</t>
  </si>
  <si>
    <t>Dynamic PLP Filtering</t>
  </si>
  <si>
    <t>Faceted search by category, purity (925/999), price range, occasions</t>
  </si>
  <si>
    <t>Live filtering and instant price sort on ProductListingPage</t>
  </si>
  <si>
    <t>Accurate Product Media</t>
  </si>
  <si>
    <t>High-res images with zero 404 broken links or mock placeholders</t>
  </si>
  <si>
    <t>Resolved all 12 missing filenames to actual bundled assets</t>
  </si>
  <si>
    <t>Search &amp; Autocomplete</t>
  </si>
  <si>
    <t>Header instant search modal with keyboard navigation &amp; category pills</t>
  </si>
  <si>
    <t>Search modal searches across live product titles &amp; categories</t>
  </si>
  <si>
    <t>Real-Time Stock Decrement</t>
  </si>
  <si>
    <t>Decrement database quantity atomically upon successful order payment</t>
  </si>
  <si>
    <t>⏳ In Progress</t>
  </si>
  <si>
    <t>Order records quantity; needs atomic SQL transaction on placement</t>
  </si>
  <si>
    <t>Bulk CSV Catalog Sync</t>
  </si>
  <si>
    <t>Admin dashboard bulk CSV upload/export for adding 100s of SKUs</t>
  </si>
  <si>
    <t>❌ Pending</t>
  </si>
  <si>
    <t>Admin panel has manual item edit; bulk CSV upload to be added</t>
  </si>
  <si>
    <t>Interactive Customizer</t>
  </si>
  <si>
    <t>Sacred Yatra Lockets Studio</t>
  </si>
  <si>
    <t>Interactive canvas selecting temples, deities, and yantra motifs</t>
  </si>
  <si>
    <t>Dedicated visual customizer studio with live 2D/3D preview</t>
  </si>
  <si>
    <t>Laser Gotra &amp; Mantra Inscription</t>
  </si>
  <si>
    <t>Customer inputs Gotra, Name, and consecrated Shiva/Vishnu mantras</t>
  </si>
  <si>
    <t>Text preview rendered onto locket with validation</t>
  </si>
  <si>
    <t>Dynamic Surcharge Pricing</t>
  </si>
  <si>
    <t>Dynamic price calculation based on net silver weight, stones &amp; engraving</t>
  </si>
  <si>
    <t>Real-time pricing matrix updates cart item price accurately</t>
  </si>
  <si>
    <t>Cart &amp; Wishlist</t>
  </si>
  <si>
    <t>Cart Sync &amp; Price Calculation</t>
  </si>
  <si>
    <t>Persistent cart across tabs with real-time tax/shipping calculations</t>
  </si>
  <si>
    <t>LocalStorage sync with promo discount recalculations</t>
  </si>
  <si>
    <t>Clean Wishlist for New Users</t>
  </si>
  <si>
    <t>No ghost products in wishlist when new users register/login</t>
  </si>
  <si>
    <t>Fixed bug: wishlist initializes empty for new sessions</t>
  </si>
  <si>
    <t>Wishlist Quick Add to Cart</t>
  </si>
  <si>
    <t>One-click transfer from wishlist to cart with stock validation</t>
  </si>
  <si>
    <t>Wishlist drawer seamlessly migrates items into cart</t>
  </si>
  <si>
    <t>Promo &amp; Discount Engine</t>
  </si>
  <si>
    <t>Validation of coupon codes (e.g., WELCOME10, FESTIVE500, min spend)</t>
  </si>
  <si>
    <t>CartDrawer validates promo codes and deducts discounts</t>
  </si>
  <si>
    <t>Pincode &amp; COD Delivery Check</t>
  </si>
  <si>
    <t>Delivery ETA calculator based on customer delivery pincode</t>
  </si>
  <si>
    <t>Integrated PINCODES lookup with Express/COD indicators</t>
  </si>
  <si>
    <t>Abandoned Cart Automation</t>
  </si>
  <si>
    <t>Trigger automated recovery email/SMS after 2 hours of inactivity</t>
  </si>
  <si>
    <t>Requires scheduled background job / cron and email service</t>
  </si>
  <si>
    <t>Checkout &amp; Payments</t>
  </si>
  <si>
    <t>Multi-Step Secure Checkout</t>
  </si>
  <si>
    <t>Clean address selection, order summary, and payment method chooser</t>
  </si>
  <si>
    <t>Responsive checkout modal with delivery &amp; billing forms</t>
  </si>
  <si>
    <t>Razorpay Payment Gateway</t>
  </si>
  <si>
    <t>Online payments via UPI, Cards, NetBanking, and Wallets</t>
  </si>
  <si>
    <t>Razorpay order creation &amp; checkout SDK integrated</t>
  </si>
  <si>
    <t>Cash on Delivery (COD) Option</t>
  </si>
  <si>
    <t>COD toggle with auto-verification and optional COD handling fee</t>
  </si>
  <si>
    <t>Fully supported in order placement flow</t>
  </si>
  <si>
    <t>GST &amp; Hallmarking Breakdown</t>
  </si>
  <si>
    <t>Clear itemized display of 3% jewelry GST and BIS hallmarking fee</t>
  </si>
  <si>
    <t>Standard Indian jewelry GST compliance breakdown</t>
  </si>
  <si>
    <t>Payment Webhook Verification</t>
  </si>
  <si>
    <t>Cryptographic signature validation on server to prevent tampering</t>
  </si>
  <si>
    <t>Basic signature check in place; needs live webhook endpoint</t>
  </si>
  <si>
    <t>Order Lifecycle</t>
  </si>
  <si>
    <t>Orders SQL Database Schema</t>
  </si>
  <si>
    <t>dbo.orders &amp; dbo.order_items tables storing complete order state</t>
  </si>
  <si>
    <t>Full relational persistence of customer orders</t>
  </si>
  <si>
    <t>Custom vs Ready-Made Order Flow</t>
  </si>
  <si>
    <t>Distinct states: Accepted/Processing/Rejected only for custom orders</t>
  </si>
  <si>
    <t>Ready-made orders bypass approval; custom orders require review</t>
  </si>
  <si>
    <t>Admin Order Operations Dashboard</t>
  </si>
  <si>
    <t>Status transitions (Pending -&gt; Accepted -&gt; In Making -&gt; Dispatched)</t>
  </si>
  <si>
    <t>Admin portal allows tracking and state changes</t>
  </si>
  <si>
    <t>Customer Order History &amp; Track</t>
  </si>
  <si>
    <t>Customer dashboard to view past purchases and live progress timeline</t>
  </si>
  <si>
    <t>Dedicated track order page and customer dashboard tab</t>
  </si>
  <si>
    <t>Shipping Carrier API Integration</t>
  </si>
  <si>
    <t>Automated AWB generation with Shiprocket / Delhivery / Bluedart</t>
  </si>
  <si>
    <t>Currently manual tracking ID entry; needs logistics API key</t>
  </si>
  <si>
    <t>Automated Email &amp; WhatsApp Alerts</t>
  </si>
  <si>
    <t>Instant order confirmation, invoice PDF &amp; dispatch tracking updates</t>
  </si>
  <si>
    <t>Nodemailer/Twilio boilerplate ready; needs production credentials</t>
  </si>
  <si>
    <t>Returns &amp; Refund Requests Portal</t>
  </si>
  <si>
    <t>Self-service return request workflow within 7-day guarantee window</t>
  </si>
  <si>
    <t>To be implemented for customer service policy compliance</t>
  </si>
  <si>
    <t>Security &amp; Infra</t>
  </si>
  <si>
    <t>SQL Injection Protection</t>
  </si>
  <si>
    <t>Parameterized queries across all SQL Server pool requests</t>
  </si>
  <si>
    <t>API Rate Limiting &amp; CORS</t>
  </si>
  <si>
    <t>Express rate limit protection against brute force and DDoS</t>
  </si>
  <si>
    <t>express-rate-limit configured on sensitive routes</t>
  </si>
  <si>
    <t>Secrets Management (.env)</t>
  </si>
  <si>
    <t>All credentials, DB passwords, and API keys stored in .env</t>
  </si>
  <si>
    <t>No hardcoded secrets; .env.example provided</t>
  </si>
  <si>
    <t>Legal &amp; Compliance Pages</t>
  </si>
  <si>
    <t>BIS Hallmarking info, Privacy Policy, Terms, Return &amp; Refund terms</t>
  </si>
  <si>
    <t>Mandatory policy pages linked in footer</t>
  </si>
  <si>
    <t>SEO Metadata &amp; OpenGraph</t>
  </si>
  <si>
    <t>Dynamic title tags, meta descriptions, schema.org Product markup</t>
  </si>
  <si>
    <t>Static meta tags present; dynamic SSR/React Helmet needed for PDP</t>
  </si>
  <si>
    <t>Analytics &amp; Conversion Tracking</t>
  </si>
  <si>
    <t>Google Analytics 4 &amp; Meta Pixel purchase tracking events</t>
  </si>
  <si>
    <t>Low</t>
  </si>
  <si>
    <t>GTM / GA4 tags to be inserted in index.html</t>
  </si>
  <si>
    <t>Automated DB Backups &amp; Failover</t>
  </si>
  <si>
    <t>Scheduled daily backups of MS SQL Server database</t>
  </si>
  <si>
    <t>Server maintenance policy needed on hosting provider</t>
  </si>
  <si>
    <t>Pending</t>
  </si>
  <si>
    <r>
      <t xml:space="preserve"> </t>
    </r>
    <r>
      <rPr>
        <b/>
        <sz val="9.5"/>
        <color rgb="FFFF0000"/>
        <rFont val="Segoe UI"/>
        <family val="2"/>
      </rPr>
      <t>Pending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</si>
</sst>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5B708B"/>
      <name val="Segoe UI"/>
    </font>
    <font>
      <b/>
      <sz val="9"/>
      <color rgb="FF1B365D"/>
      <name val="Segoe UI"/>
    </font>
    <font>
      <b/>
      <sz val="14"/>
      <color rgb="FF1B365D"/>
      <name val="Segoe UI"/>
    </font>
    <font>
      <b/>
      <sz val="9"/>
      <color rgb="FF137333"/>
      <name val="Segoe UI"/>
    </font>
    <font>
      <b/>
      <sz val="14"/>
      <color rgb="FF137333"/>
      <name val="Segoe UI"/>
    </font>
    <font>
      <b/>
      <sz val="9"/>
      <color rgb="FFB06000"/>
      <name val="Segoe UI"/>
    </font>
    <font>
      <b/>
      <sz val="14"/>
      <color rgb="FFB06000"/>
      <name val="Segoe UI"/>
    </font>
    <font>
      <b/>
      <sz val="9"/>
      <color rgb="FFC5221F"/>
      <name val="Segoe UI"/>
    </font>
    <font>
      <b/>
      <sz val="14"/>
      <color rgb="FFC5221F"/>
      <name val="Segoe UI"/>
    </font>
    <font>
      <b/>
      <sz val="10"/>
      <color rgb="FFFFFFFF"/>
      <name val="Segoe UI"/>
    </font>
    <font>
      <sz val="9.5"/>
      <color rgb="FF202124"/>
      <name val="Segoe UI"/>
    </font>
    <font>
      <b/>
      <sz val="9.5"/>
      <color rgb="FF137333"/>
      <name val="Segoe UI"/>
    </font>
    <font>
      <b/>
      <sz val="9.5"/>
      <color rgb="FF991B1B"/>
      <name val="Segoe UI"/>
    </font>
    <font>
      <sz val="9.5"/>
      <color rgb="FF92400E"/>
      <name val="Segoe UI"/>
    </font>
    <font>
      <b/>
      <sz val="9.5"/>
      <color rgb="FFB06000"/>
      <name val="Segoe UI"/>
    </font>
    <font>
      <b/>
      <sz val="9.5"/>
      <color rgb="FFC5221F"/>
      <name val="Segoe UI"/>
    </font>
    <font>
      <sz val="9.5"/>
      <color rgb="FF4B5563"/>
      <name val="Segoe UI"/>
    </font>
    <font>
      <b/>
      <sz val="12"/>
      <color rgb="FFFFFFFF"/>
      <name val="Segoe UI"/>
      <family val="2"/>
    </font>
    <font>
      <b/>
      <sz val="9.5"/>
      <color rgb="FFC5221F"/>
      <name val="Segoe UI"/>
      <family val="2"/>
    </font>
    <font>
      <b/>
      <sz val="9.5"/>
      <color rgb="FFFF0000"/>
      <name val="Segoe UI"/>
      <family val="2"/>
    </font>
    <font>
      <sz val="9.5"/>
      <color rgb="FF202124"/>
      <name val="Segoe UI"/>
      <family val="2"/>
    </font>
    <font>
      <b/>
      <sz val="9.5"/>
      <color rgb="FF13733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9EEF4"/>
        <bgColor rgb="FFE9EEF4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D2E3FC"/>
        <bgColor rgb="FFD2E3FC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pane ySplit="7" topLeftCell="A37" activePane="bottomLeft" state="frozen"/>
      <selection pane="bottomLeft" activeCell="E42" sqref="E42"/>
    </sheetView>
  </sheetViews>
  <sheetFormatPr defaultRowHeight="14.4" x14ac:dyDescent="0.3"/>
  <cols>
    <col min="1" max="1" width="6" customWidth="1"/>
    <col min="2" max="2" width="22" customWidth="1"/>
    <col min="3" max="3" width="32" customWidth="1"/>
    <col min="4" max="4" width="45" customWidth="1"/>
    <col min="5" max="5" width="16" customWidth="1"/>
    <col min="6" max="6" width="12" customWidth="1"/>
    <col min="7" max="7" width="38" customWidth="1"/>
  </cols>
  <sheetData>
    <row r="1" spans="1:7" ht="37.950000000000003" customHeight="1" x14ac:dyDescent="0.3">
      <c r="A1" s="27" t="s">
        <v>0</v>
      </c>
      <c r="B1" s="26"/>
      <c r="C1" s="26"/>
      <c r="D1" s="26"/>
      <c r="E1" s="26"/>
      <c r="F1" s="26"/>
      <c r="G1" s="26"/>
    </row>
    <row r="2" spans="1:7" ht="22.05" customHeight="1" x14ac:dyDescent="0.3">
      <c r="A2" s="25" t="s">
        <v>1</v>
      </c>
      <c r="B2" s="26"/>
      <c r="C2" s="26"/>
      <c r="D2" s="26"/>
      <c r="E2" s="26"/>
      <c r="F2" s="26"/>
      <c r="G2" s="26"/>
    </row>
    <row r="4" spans="1:7" ht="18" customHeight="1" x14ac:dyDescent="0.3"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</row>
    <row r="5" spans="1:7" ht="25.95" customHeight="1" x14ac:dyDescent="0.3">
      <c r="B5" s="6">
        <f>COUNTA(B8:B46)</f>
        <v>39</v>
      </c>
      <c r="C5" s="7">
        <f>COUNTIF(E8:E46, "*Completed*")</f>
        <v>24</v>
      </c>
      <c r="D5" s="8">
        <f>COUNTIF(E8:E46, "*In Progress*")</f>
        <v>4</v>
      </c>
      <c r="E5" s="9">
        <f>COUNTIF(E7:E46, "*Pending*")</f>
        <v>11</v>
      </c>
      <c r="F5" s="10" t="str">
        <f>ROUND((COUNTIF(E8:E46,"*Completed*")/COUNTA(B8:B46))*100, 1) &amp; "%"</f>
        <v>61.5%</v>
      </c>
    </row>
    <row r="6" spans="1:7" ht="10.050000000000001" customHeight="1" x14ac:dyDescent="0.3"/>
    <row r="7" spans="1:7" ht="28.05" customHeight="1" x14ac:dyDescent="0.3">
      <c r="A7" s="11" t="s">
        <v>7</v>
      </c>
      <c r="B7" s="12" t="s">
        <v>8</v>
      </c>
      <c r="C7" s="12" t="s">
        <v>9</v>
      </c>
      <c r="D7" s="12" t="s">
        <v>10</v>
      </c>
      <c r="E7" s="11" t="s">
        <v>11</v>
      </c>
      <c r="F7" s="21" t="s">
        <v>12</v>
      </c>
      <c r="G7" s="12" t="s">
        <v>13</v>
      </c>
    </row>
    <row r="8" spans="1:7" ht="24" customHeight="1" x14ac:dyDescent="0.3">
      <c r="A8" s="13">
        <v>1</v>
      </c>
      <c r="B8" s="14" t="s">
        <v>14</v>
      </c>
      <c r="C8" s="14" t="s">
        <v>15</v>
      </c>
      <c r="D8" s="14" t="s">
        <v>16</v>
      </c>
      <c r="E8" s="23" t="s">
        <v>146</v>
      </c>
      <c r="F8" s="16" t="s">
        <v>18</v>
      </c>
      <c r="G8" s="14" t="s">
        <v>19</v>
      </c>
    </row>
    <row r="9" spans="1:7" ht="24" customHeight="1" x14ac:dyDescent="0.3">
      <c r="A9" s="13">
        <v>2</v>
      </c>
      <c r="B9" s="14" t="s">
        <v>14</v>
      </c>
      <c r="C9" s="14" t="s">
        <v>20</v>
      </c>
      <c r="D9" s="14" t="s">
        <v>21</v>
      </c>
      <c r="E9" s="15" t="s">
        <v>17</v>
      </c>
      <c r="F9" s="16" t="s">
        <v>18</v>
      </c>
      <c r="G9" s="14" t="s">
        <v>22</v>
      </c>
    </row>
    <row r="10" spans="1:7" ht="24" customHeight="1" x14ac:dyDescent="0.3">
      <c r="A10" s="13">
        <v>3</v>
      </c>
      <c r="B10" s="14" t="s">
        <v>14</v>
      </c>
      <c r="C10" s="14" t="s">
        <v>23</v>
      </c>
      <c r="D10" s="14" t="s">
        <v>24</v>
      </c>
      <c r="E10" s="15" t="s">
        <v>17</v>
      </c>
      <c r="F10" s="17" t="s">
        <v>25</v>
      </c>
      <c r="G10" s="14" t="s">
        <v>26</v>
      </c>
    </row>
    <row r="11" spans="1:7" ht="24" customHeight="1" x14ac:dyDescent="0.3">
      <c r="A11" s="13">
        <v>4</v>
      </c>
      <c r="B11" s="14" t="s">
        <v>14</v>
      </c>
      <c r="C11" s="14" t="s">
        <v>27</v>
      </c>
      <c r="D11" s="14" t="s">
        <v>28</v>
      </c>
      <c r="E11" s="15" t="s">
        <v>17</v>
      </c>
      <c r="F11" s="16" t="s">
        <v>18</v>
      </c>
      <c r="G11" s="14" t="s">
        <v>29</v>
      </c>
    </row>
    <row r="12" spans="1:7" ht="24" customHeight="1" x14ac:dyDescent="0.3">
      <c r="A12" s="13">
        <v>5</v>
      </c>
      <c r="B12" s="14" t="s">
        <v>14</v>
      </c>
      <c r="C12" s="14" t="s">
        <v>30</v>
      </c>
      <c r="D12" s="14" t="s">
        <v>31</v>
      </c>
      <c r="E12" s="15" t="s">
        <v>17</v>
      </c>
      <c r="F12" s="16" t="s">
        <v>18</v>
      </c>
      <c r="G12" s="14" t="s">
        <v>32</v>
      </c>
    </row>
    <row r="13" spans="1:7" ht="24" customHeight="1" x14ac:dyDescent="0.3">
      <c r="A13" s="13">
        <v>6</v>
      </c>
      <c r="B13" s="14" t="s">
        <v>14</v>
      </c>
      <c r="C13" s="14" t="s">
        <v>33</v>
      </c>
      <c r="D13" s="14" t="s">
        <v>34</v>
      </c>
      <c r="E13" s="15" t="s">
        <v>17</v>
      </c>
      <c r="F13" s="16" t="s">
        <v>18</v>
      </c>
      <c r="G13" s="24" t="s">
        <v>35</v>
      </c>
    </row>
    <row r="14" spans="1:7" ht="24" customHeight="1" x14ac:dyDescent="0.3">
      <c r="A14" s="13">
        <v>7</v>
      </c>
      <c r="B14" s="14" t="s">
        <v>36</v>
      </c>
      <c r="C14" s="14" t="s">
        <v>37</v>
      </c>
      <c r="D14" s="14" t="s">
        <v>38</v>
      </c>
      <c r="E14" s="15" t="s">
        <v>17</v>
      </c>
      <c r="F14" s="16" t="s">
        <v>18</v>
      </c>
      <c r="G14" s="14" t="s">
        <v>39</v>
      </c>
    </row>
    <row r="15" spans="1:7" ht="24" customHeight="1" x14ac:dyDescent="0.3">
      <c r="A15" s="13">
        <v>8</v>
      </c>
      <c r="B15" s="14" t="s">
        <v>36</v>
      </c>
      <c r="C15" s="14" t="s">
        <v>40</v>
      </c>
      <c r="D15" s="14" t="s">
        <v>41</v>
      </c>
      <c r="E15" s="15" t="s">
        <v>17</v>
      </c>
      <c r="F15" s="16" t="s">
        <v>18</v>
      </c>
      <c r="G15" s="14" t="s">
        <v>42</v>
      </c>
    </row>
    <row r="16" spans="1:7" ht="24" customHeight="1" x14ac:dyDescent="0.3">
      <c r="A16" s="13">
        <v>9</v>
      </c>
      <c r="B16" s="14" t="s">
        <v>36</v>
      </c>
      <c r="C16" s="14" t="s">
        <v>43</v>
      </c>
      <c r="D16" s="14" t="s">
        <v>44</v>
      </c>
      <c r="E16" s="15" t="s">
        <v>17</v>
      </c>
      <c r="F16" s="16" t="s">
        <v>18</v>
      </c>
      <c r="G16" s="14" t="s">
        <v>45</v>
      </c>
    </row>
    <row r="17" spans="1:7" ht="24" customHeight="1" x14ac:dyDescent="0.3">
      <c r="A17" s="13">
        <v>10</v>
      </c>
      <c r="B17" s="14" t="s">
        <v>36</v>
      </c>
      <c r="C17" s="14" t="s">
        <v>46</v>
      </c>
      <c r="D17" s="14" t="s">
        <v>47</v>
      </c>
      <c r="E17" s="15" t="s">
        <v>17</v>
      </c>
      <c r="F17" s="17" t="s">
        <v>25</v>
      </c>
      <c r="G17" s="14" t="s">
        <v>48</v>
      </c>
    </row>
    <row r="18" spans="1:7" ht="24" customHeight="1" x14ac:dyDescent="0.3">
      <c r="A18" s="13">
        <v>11</v>
      </c>
      <c r="B18" s="14" t="s">
        <v>36</v>
      </c>
      <c r="C18" s="14" t="s">
        <v>49</v>
      </c>
      <c r="D18" s="14" t="s">
        <v>50</v>
      </c>
      <c r="E18" s="18" t="s">
        <v>51</v>
      </c>
      <c r="F18" s="16" t="s">
        <v>18</v>
      </c>
      <c r="G18" s="14" t="s">
        <v>52</v>
      </c>
    </row>
    <row r="19" spans="1:7" ht="24" customHeight="1" x14ac:dyDescent="0.3">
      <c r="A19" s="13">
        <v>12</v>
      </c>
      <c r="B19" s="14" t="s">
        <v>36</v>
      </c>
      <c r="C19" s="14" t="s">
        <v>53</v>
      </c>
      <c r="D19" s="14" t="s">
        <v>54</v>
      </c>
      <c r="E19" s="22" t="s">
        <v>55</v>
      </c>
      <c r="F19" s="17" t="s">
        <v>25</v>
      </c>
      <c r="G19" s="14" t="s">
        <v>56</v>
      </c>
    </row>
    <row r="20" spans="1:7" ht="24" customHeight="1" x14ac:dyDescent="0.3">
      <c r="A20" s="13">
        <v>13</v>
      </c>
      <c r="B20" s="14" t="s">
        <v>57</v>
      </c>
      <c r="C20" s="14" t="s">
        <v>58</v>
      </c>
      <c r="D20" s="14" t="s">
        <v>59</v>
      </c>
      <c r="E20" s="15" t="s">
        <v>17</v>
      </c>
      <c r="F20" s="16" t="s">
        <v>18</v>
      </c>
      <c r="G20" s="14" t="s">
        <v>60</v>
      </c>
    </row>
    <row r="21" spans="1:7" ht="24" customHeight="1" x14ac:dyDescent="0.3">
      <c r="A21" s="13">
        <v>14</v>
      </c>
      <c r="B21" s="14" t="s">
        <v>57</v>
      </c>
      <c r="C21" s="14" t="s">
        <v>61</v>
      </c>
      <c r="D21" s="14" t="s">
        <v>62</v>
      </c>
      <c r="E21" s="15" t="s">
        <v>17</v>
      </c>
      <c r="F21" s="16" t="s">
        <v>18</v>
      </c>
      <c r="G21" s="14" t="s">
        <v>63</v>
      </c>
    </row>
    <row r="22" spans="1:7" ht="24" customHeight="1" x14ac:dyDescent="0.3">
      <c r="A22" s="13">
        <v>15</v>
      </c>
      <c r="B22" s="14" t="s">
        <v>57</v>
      </c>
      <c r="C22" s="14" t="s">
        <v>64</v>
      </c>
      <c r="D22" s="14" t="s">
        <v>65</v>
      </c>
      <c r="E22" s="15" t="s">
        <v>17</v>
      </c>
      <c r="F22" s="16" t="s">
        <v>18</v>
      </c>
      <c r="G22" s="14" t="s">
        <v>66</v>
      </c>
    </row>
    <row r="23" spans="1:7" ht="24" customHeight="1" x14ac:dyDescent="0.3">
      <c r="A23" s="13">
        <v>16</v>
      </c>
      <c r="B23" s="14" t="s">
        <v>67</v>
      </c>
      <c r="C23" s="14" t="s">
        <v>68</v>
      </c>
      <c r="D23" s="14" t="s">
        <v>69</v>
      </c>
      <c r="E23" s="15" t="s">
        <v>17</v>
      </c>
      <c r="F23" s="16" t="s">
        <v>18</v>
      </c>
      <c r="G23" s="14" t="s">
        <v>70</v>
      </c>
    </row>
    <row r="24" spans="1:7" ht="24" customHeight="1" x14ac:dyDescent="0.3">
      <c r="A24" s="13">
        <v>17</v>
      </c>
      <c r="B24" s="14" t="s">
        <v>67</v>
      </c>
      <c r="C24" s="14" t="s">
        <v>71</v>
      </c>
      <c r="D24" s="14" t="s">
        <v>72</v>
      </c>
      <c r="E24" s="15" t="s">
        <v>17</v>
      </c>
      <c r="F24" s="16" t="s">
        <v>18</v>
      </c>
      <c r="G24" s="14" t="s">
        <v>73</v>
      </c>
    </row>
    <row r="25" spans="1:7" ht="24" customHeight="1" x14ac:dyDescent="0.3">
      <c r="A25" s="13">
        <v>18</v>
      </c>
      <c r="B25" s="14" t="s">
        <v>67</v>
      </c>
      <c r="C25" s="14" t="s">
        <v>74</v>
      </c>
      <c r="D25" s="14" t="s">
        <v>75</v>
      </c>
      <c r="E25" s="15" t="s">
        <v>17</v>
      </c>
      <c r="F25" s="17" t="s">
        <v>25</v>
      </c>
      <c r="G25" s="14" t="s">
        <v>76</v>
      </c>
    </row>
    <row r="26" spans="1:7" ht="24" customHeight="1" x14ac:dyDescent="0.3">
      <c r="A26" s="13">
        <v>19</v>
      </c>
      <c r="B26" s="14" t="s">
        <v>67</v>
      </c>
      <c r="C26" s="14" t="s">
        <v>77</v>
      </c>
      <c r="D26" s="14" t="s">
        <v>78</v>
      </c>
      <c r="E26" s="15" t="s">
        <v>17</v>
      </c>
      <c r="F26" s="17" t="s">
        <v>25</v>
      </c>
      <c r="G26" s="14" t="s">
        <v>79</v>
      </c>
    </row>
    <row r="27" spans="1:7" ht="24" customHeight="1" x14ac:dyDescent="0.3">
      <c r="A27" s="13">
        <v>20</v>
      </c>
      <c r="B27" s="14" t="s">
        <v>67</v>
      </c>
      <c r="C27" s="14" t="s">
        <v>80</v>
      </c>
      <c r="D27" s="14" t="s">
        <v>81</v>
      </c>
      <c r="E27" s="15" t="s">
        <v>17</v>
      </c>
      <c r="F27" s="17" t="s">
        <v>25</v>
      </c>
      <c r="G27" s="14" t="s">
        <v>82</v>
      </c>
    </row>
    <row r="28" spans="1:7" ht="24" customHeight="1" x14ac:dyDescent="0.3">
      <c r="A28" s="13">
        <v>21</v>
      </c>
      <c r="B28" s="14" t="s">
        <v>67</v>
      </c>
      <c r="C28" s="14" t="s">
        <v>83</v>
      </c>
      <c r="D28" s="14" t="s">
        <v>84</v>
      </c>
      <c r="E28" s="19" t="s">
        <v>55</v>
      </c>
      <c r="F28" s="17" t="s">
        <v>25</v>
      </c>
      <c r="G28" s="14" t="s">
        <v>85</v>
      </c>
    </row>
    <row r="29" spans="1:7" ht="24" customHeight="1" x14ac:dyDescent="0.3">
      <c r="A29" s="13">
        <v>22</v>
      </c>
      <c r="B29" s="14" t="s">
        <v>86</v>
      </c>
      <c r="C29" s="14" t="s">
        <v>87</v>
      </c>
      <c r="D29" s="14" t="s">
        <v>88</v>
      </c>
      <c r="E29" s="23" t="s">
        <v>146</v>
      </c>
      <c r="F29" s="16" t="s">
        <v>18</v>
      </c>
      <c r="G29" s="14" t="s">
        <v>89</v>
      </c>
    </row>
    <row r="30" spans="1:7" ht="24" customHeight="1" x14ac:dyDescent="0.3">
      <c r="A30" s="13">
        <v>23</v>
      </c>
      <c r="B30" s="14" t="s">
        <v>86</v>
      </c>
      <c r="C30" s="14" t="s">
        <v>90</v>
      </c>
      <c r="D30" s="14" t="s">
        <v>91</v>
      </c>
      <c r="E30" s="23" t="s">
        <v>146</v>
      </c>
      <c r="F30" s="16" t="s">
        <v>18</v>
      </c>
      <c r="G30" s="14" t="s">
        <v>92</v>
      </c>
    </row>
    <row r="31" spans="1:7" ht="24" customHeight="1" x14ac:dyDescent="0.3">
      <c r="A31" s="13">
        <v>24</v>
      </c>
      <c r="B31" s="14" t="s">
        <v>86</v>
      </c>
      <c r="C31" s="14" t="s">
        <v>93</v>
      </c>
      <c r="D31" s="14" t="s">
        <v>94</v>
      </c>
      <c r="E31" s="23" t="s">
        <v>146</v>
      </c>
      <c r="F31" s="16" t="s">
        <v>18</v>
      </c>
      <c r="G31" s="14" t="s">
        <v>95</v>
      </c>
    </row>
    <row r="32" spans="1:7" ht="24" customHeight="1" x14ac:dyDescent="0.3">
      <c r="A32" s="13">
        <v>25</v>
      </c>
      <c r="B32" s="14" t="s">
        <v>86</v>
      </c>
      <c r="C32" s="14" t="s">
        <v>96</v>
      </c>
      <c r="D32" s="14" t="s">
        <v>97</v>
      </c>
      <c r="E32" s="23" t="s">
        <v>146</v>
      </c>
      <c r="F32" s="16" t="s">
        <v>18</v>
      </c>
      <c r="G32" s="14" t="s">
        <v>98</v>
      </c>
    </row>
    <row r="33" spans="1:7" ht="24" customHeight="1" x14ac:dyDescent="0.3">
      <c r="A33" s="13">
        <v>26</v>
      </c>
      <c r="B33" s="14" t="s">
        <v>86</v>
      </c>
      <c r="C33" s="14" t="s">
        <v>99</v>
      </c>
      <c r="D33" s="14" t="s">
        <v>100</v>
      </c>
      <c r="E33" s="18" t="s">
        <v>51</v>
      </c>
      <c r="F33" s="16" t="s">
        <v>18</v>
      </c>
      <c r="G33" s="14" t="s">
        <v>101</v>
      </c>
    </row>
    <row r="34" spans="1:7" ht="24" customHeight="1" x14ac:dyDescent="0.3">
      <c r="A34" s="13">
        <v>27</v>
      </c>
      <c r="B34" s="14" t="s">
        <v>102</v>
      </c>
      <c r="C34" s="14" t="s">
        <v>103</v>
      </c>
      <c r="D34" s="14" t="s">
        <v>104</v>
      </c>
      <c r="E34" s="15" t="s">
        <v>17</v>
      </c>
      <c r="F34" s="16" t="s">
        <v>18</v>
      </c>
      <c r="G34" s="14" t="s">
        <v>105</v>
      </c>
    </row>
    <row r="35" spans="1:7" ht="24" customHeight="1" x14ac:dyDescent="0.3">
      <c r="A35" s="13">
        <v>28</v>
      </c>
      <c r="B35" s="14" t="s">
        <v>102</v>
      </c>
      <c r="C35" s="14" t="s">
        <v>106</v>
      </c>
      <c r="D35" s="14" t="s">
        <v>107</v>
      </c>
      <c r="E35" s="15" t="s">
        <v>17</v>
      </c>
      <c r="F35" s="16" t="s">
        <v>18</v>
      </c>
      <c r="G35" s="14" t="s">
        <v>108</v>
      </c>
    </row>
    <row r="36" spans="1:7" ht="24" customHeight="1" x14ac:dyDescent="0.3">
      <c r="A36" s="13">
        <v>29</v>
      </c>
      <c r="B36" s="14" t="s">
        <v>102</v>
      </c>
      <c r="C36" s="14" t="s">
        <v>109</v>
      </c>
      <c r="D36" s="14" t="s">
        <v>110</v>
      </c>
      <c r="E36" s="15" t="s">
        <v>17</v>
      </c>
      <c r="F36" s="16" t="s">
        <v>18</v>
      </c>
      <c r="G36" s="14" t="s">
        <v>111</v>
      </c>
    </row>
    <row r="37" spans="1:7" ht="24" customHeight="1" x14ac:dyDescent="0.3">
      <c r="A37" s="13">
        <v>30</v>
      </c>
      <c r="B37" s="14" t="s">
        <v>102</v>
      </c>
      <c r="C37" s="14" t="s">
        <v>112</v>
      </c>
      <c r="D37" s="14" t="s">
        <v>113</v>
      </c>
      <c r="E37" s="15" t="s">
        <v>17</v>
      </c>
      <c r="F37" s="16" t="s">
        <v>18</v>
      </c>
      <c r="G37" s="14" t="s">
        <v>114</v>
      </c>
    </row>
    <row r="38" spans="1:7" ht="24" customHeight="1" x14ac:dyDescent="0.3">
      <c r="A38" s="13">
        <v>31</v>
      </c>
      <c r="B38" s="14" t="s">
        <v>102</v>
      </c>
      <c r="C38" s="14" t="s">
        <v>115</v>
      </c>
      <c r="D38" s="14" t="s">
        <v>116</v>
      </c>
      <c r="E38" s="19" t="s">
        <v>55</v>
      </c>
      <c r="F38" s="17" t="s">
        <v>25</v>
      </c>
      <c r="G38" s="14" t="s">
        <v>117</v>
      </c>
    </row>
    <row r="39" spans="1:7" ht="24" customHeight="1" x14ac:dyDescent="0.3">
      <c r="A39" s="13">
        <v>32</v>
      </c>
      <c r="B39" s="14" t="s">
        <v>102</v>
      </c>
      <c r="C39" s="14" t="s">
        <v>118</v>
      </c>
      <c r="D39" s="14" t="s">
        <v>119</v>
      </c>
      <c r="E39" s="18" t="s">
        <v>51</v>
      </c>
      <c r="F39" s="16" t="s">
        <v>18</v>
      </c>
      <c r="G39" s="14" t="s">
        <v>120</v>
      </c>
    </row>
    <row r="40" spans="1:7" ht="24" customHeight="1" x14ac:dyDescent="0.3">
      <c r="A40" s="13">
        <v>33</v>
      </c>
      <c r="B40" s="14" t="s">
        <v>102</v>
      </c>
      <c r="C40" s="14" t="s">
        <v>121</v>
      </c>
      <c r="D40" s="14" t="s">
        <v>122</v>
      </c>
      <c r="E40" s="19" t="s">
        <v>55</v>
      </c>
      <c r="F40" s="17" t="s">
        <v>25</v>
      </c>
      <c r="G40" s="14" t="s">
        <v>123</v>
      </c>
    </row>
    <row r="41" spans="1:7" ht="24" customHeight="1" x14ac:dyDescent="0.3">
      <c r="A41" s="13">
        <v>34</v>
      </c>
      <c r="B41" s="14" t="s">
        <v>124</v>
      </c>
      <c r="C41" s="14" t="s">
        <v>125</v>
      </c>
      <c r="D41" s="14" t="s">
        <v>126</v>
      </c>
      <c r="E41" s="15" t="s">
        <v>17</v>
      </c>
      <c r="F41" s="16" t="s">
        <v>18</v>
      </c>
      <c r="G41" s="14" t="s">
        <v>123</v>
      </c>
    </row>
    <row r="42" spans="1:7" ht="24" customHeight="1" x14ac:dyDescent="0.3">
      <c r="A42" s="13">
        <v>35</v>
      </c>
      <c r="B42" s="14" t="s">
        <v>124</v>
      </c>
      <c r="C42" s="14" t="s">
        <v>127</v>
      </c>
      <c r="D42" s="14" t="s">
        <v>128</v>
      </c>
      <c r="E42" s="15" t="s">
        <v>17</v>
      </c>
      <c r="F42" s="16" t="s">
        <v>18</v>
      </c>
      <c r="G42" s="14" t="s">
        <v>129</v>
      </c>
    </row>
    <row r="43" spans="1:7" ht="24" customHeight="1" x14ac:dyDescent="0.3">
      <c r="A43" s="13">
        <v>36</v>
      </c>
      <c r="B43" s="14" t="s">
        <v>124</v>
      </c>
      <c r="C43" s="14" t="s">
        <v>130</v>
      </c>
      <c r="D43" s="14" t="s">
        <v>131</v>
      </c>
      <c r="E43" s="15" t="s">
        <v>17</v>
      </c>
      <c r="F43" s="16" t="s">
        <v>18</v>
      </c>
      <c r="G43" s="14" t="s">
        <v>132</v>
      </c>
    </row>
    <row r="44" spans="1:7" ht="24" customHeight="1" x14ac:dyDescent="0.3">
      <c r="A44" s="13">
        <v>37</v>
      </c>
      <c r="B44" s="14" t="s">
        <v>124</v>
      </c>
      <c r="C44" s="14" t="s">
        <v>133</v>
      </c>
      <c r="D44" s="14" t="s">
        <v>134</v>
      </c>
      <c r="E44" s="28" t="s">
        <v>147</v>
      </c>
      <c r="F44" s="17" t="s">
        <v>25</v>
      </c>
      <c r="G44" s="14" t="s">
        <v>135</v>
      </c>
    </row>
    <row r="45" spans="1:7" ht="24" customHeight="1" x14ac:dyDescent="0.3">
      <c r="A45" s="13">
        <v>38</v>
      </c>
      <c r="B45" s="14" t="s">
        <v>124</v>
      </c>
      <c r="C45" s="14" t="s">
        <v>136</v>
      </c>
      <c r="D45" s="14" t="s">
        <v>137</v>
      </c>
      <c r="E45" s="18" t="s">
        <v>51</v>
      </c>
      <c r="F45" s="17" t="s">
        <v>25</v>
      </c>
      <c r="G45" s="14" t="s">
        <v>138</v>
      </c>
    </row>
    <row r="46" spans="1:7" ht="24" customHeight="1" x14ac:dyDescent="0.3">
      <c r="A46" s="13">
        <v>39</v>
      </c>
      <c r="B46" s="14" t="s">
        <v>124</v>
      </c>
      <c r="C46" s="14" t="s">
        <v>139</v>
      </c>
      <c r="D46" s="14" t="s">
        <v>140</v>
      </c>
      <c r="E46" s="19" t="s">
        <v>55</v>
      </c>
      <c r="F46" s="20" t="s">
        <v>141</v>
      </c>
      <c r="G46" s="14" t="s">
        <v>142</v>
      </c>
    </row>
    <row r="47" spans="1:7" ht="24" customHeight="1" x14ac:dyDescent="0.3">
      <c r="A47" s="13">
        <v>40</v>
      </c>
      <c r="B47" s="14" t="s">
        <v>124</v>
      </c>
      <c r="C47" s="14" t="s">
        <v>143</v>
      </c>
      <c r="D47" s="14" t="s">
        <v>144</v>
      </c>
      <c r="E47" s="19" t="s">
        <v>55</v>
      </c>
      <c r="F47" s="16" t="s">
        <v>18</v>
      </c>
      <c r="G47" s="14" t="s">
        <v>145</v>
      </c>
    </row>
  </sheetData>
  <mergeCells count="2">
    <mergeCell ref="A2:G2"/>
    <mergeCell ref="A1: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Production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agrawal</cp:lastModifiedBy>
  <dcterms:created xsi:type="dcterms:W3CDTF">2026-09-24T11:59:55Z</dcterms:created>
  <dcterms:modified xsi:type="dcterms:W3CDTF">2026-09-25T06:00:16Z</dcterms:modified>
</cp:coreProperties>
</file>